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76.66.51\Share\Документация 2026\АУКЦИОНЫ 2026\2723-ЭА 6346 Каслинский ПГТ Оснащение зон по видам работ (Саша Т)\"/>
    </mc:Choice>
  </mc:AlternateContent>
  <bookViews>
    <workbookView xWindow="0" yWindow="0" windowWidth="28800" windowHeight="8835"/>
  </bookViews>
  <sheets>
    <sheet name="1" sheetId="7" r:id="rId1"/>
  </sheets>
  <definedNames>
    <definedName name="_xlnm.Print_Area" localSheetId="0">'1'!$A$1:$N$49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8" i="7" l="1"/>
  <c r="I38" i="7" s="1"/>
  <c r="J38" i="7" s="1"/>
  <c r="K38" i="7"/>
  <c r="L38" i="7" s="1"/>
  <c r="M38" i="7" s="1"/>
  <c r="N38" i="7" s="1"/>
  <c r="H37" i="7"/>
  <c r="I37" i="7" s="1"/>
  <c r="J37" i="7" s="1"/>
  <c r="K37" i="7"/>
  <c r="L37" i="7" s="1"/>
  <c r="M37" i="7" s="1"/>
  <c r="N37" i="7" s="1"/>
  <c r="H36" i="7"/>
  <c r="I36" i="7" s="1"/>
  <c r="J36" i="7" s="1"/>
  <c r="K36" i="7"/>
  <c r="L36" i="7" s="1"/>
  <c r="M36" i="7" s="1"/>
  <c r="N36" i="7" s="1"/>
  <c r="H34" i="7"/>
  <c r="I34" i="7" s="1"/>
  <c r="J34" i="7" s="1"/>
  <c r="K34" i="7"/>
  <c r="L34" i="7" s="1"/>
  <c r="M34" i="7" s="1"/>
  <c r="N34" i="7" s="1"/>
  <c r="H33" i="7"/>
  <c r="I33" i="7" s="1"/>
  <c r="J33" i="7" s="1"/>
  <c r="K33" i="7"/>
  <c r="L33" i="7" s="1"/>
  <c r="M33" i="7" s="1"/>
  <c r="N33" i="7" s="1"/>
  <c r="H32" i="7"/>
  <c r="I32" i="7" s="1"/>
  <c r="J32" i="7" s="1"/>
  <c r="K32" i="7"/>
  <c r="L32" i="7" s="1"/>
  <c r="M32" i="7" s="1"/>
  <c r="N32" i="7" s="1"/>
  <c r="H31" i="7"/>
  <c r="I31" i="7" s="1"/>
  <c r="J31" i="7" s="1"/>
  <c r="K31" i="7"/>
  <c r="L31" i="7" s="1"/>
  <c r="M31" i="7" s="1"/>
  <c r="N31" i="7" s="1"/>
  <c r="H30" i="7"/>
  <c r="I30" i="7" s="1"/>
  <c r="J30" i="7" s="1"/>
  <c r="K30" i="7"/>
  <c r="L30" i="7" s="1"/>
  <c r="M30" i="7" s="1"/>
  <c r="N30" i="7" s="1"/>
  <c r="H29" i="7"/>
  <c r="I29" i="7" s="1"/>
  <c r="J29" i="7" s="1"/>
  <c r="K29" i="7"/>
  <c r="L29" i="7" s="1"/>
  <c r="M29" i="7" s="1"/>
  <c r="N29" i="7" s="1"/>
  <c r="K7" i="7"/>
  <c r="L7" i="7" s="1"/>
  <c r="K28" i="7" l="1"/>
  <c r="L28" i="7" s="1"/>
  <c r="M28" i="7" s="1"/>
  <c r="N28" i="7" s="1"/>
  <c r="H28" i="7"/>
  <c r="I28" i="7" s="1"/>
  <c r="J28" i="7" s="1"/>
  <c r="K27" i="7"/>
  <c r="L27" i="7" s="1"/>
  <c r="M27" i="7" s="1"/>
  <c r="N27" i="7" s="1"/>
  <c r="H27" i="7"/>
  <c r="I27" i="7" s="1"/>
  <c r="J27" i="7" s="1"/>
  <c r="K26" i="7"/>
  <c r="L26" i="7" s="1"/>
  <c r="M26" i="7" s="1"/>
  <c r="N26" i="7" s="1"/>
  <c r="H26" i="7"/>
  <c r="I26" i="7" s="1"/>
  <c r="J26" i="7" s="1"/>
  <c r="K25" i="7"/>
  <c r="L25" i="7" s="1"/>
  <c r="M25" i="7" s="1"/>
  <c r="N25" i="7" s="1"/>
  <c r="H25" i="7"/>
  <c r="I25" i="7" s="1"/>
  <c r="J25" i="7" s="1"/>
  <c r="K24" i="7"/>
  <c r="L24" i="7" s="1"/>
  <c r="M24" i="7" s="1"/>
  <c r="N24" i="7" s="1"/>
  <c r="H24" i="7"/>
  <c r="I24" i="7" s="1"/>
  <c r="J24" i="7" s="1"/>
  <c r="K23" i="7"/>
  <c r="L23" i="7" s="1"/>
  <c r="M23" i="7" s="1"/>
  <c r="N23" i="7" s="1"/>
  <c r="H23" i="7"/>
  <c r="I23" i="7" s="1"/>
  <c r="J23" i="7" s="1"/>
  <c r="K22" i="7"/>
  <c r="L22" i="7" s="1"/>
  <c r="M22" i="7" s="1"/>
  <c r="N22" i="7" s="1"/>
  <c r="H22" i="7"/>
  <c r="I22" i="7" s="1"/>
  <c r="J22" i="7" s="1"/>
  <c r="K21" i="7"/>
  <c r="L21" i="7" s="1"/>
  <c r="M21" i="7" s="1"/>
  <c r="N21" i="7" s="1"/>
  <c r="H21" i="7"/>
  <c r="I21" i="7" s="1"/>
  <c r="J21" i="7" s="1"/>
  <c r="K20" i="7"/>
  <c r="L20" i="7" s="1"/>
  <c r="M20" i="7" s="1"/>
  <c r="N20" i="7" s="1"/>
  <c r="H20" i="7"/>
  <c r="I20" i="7" s="1"/>
  <c r="J20" i="7" s="1"/>
  <c r="K19" i="7"/>
  <c r="L19" i="7" s="1"/>
  <c r="M19" i="7" s="1"/>
  <c r="N19" i="7" s="1"/>
  <c r="H19" i="7"/>
  <c r="I19" i="7" s="1"/>
  <c r="J19" i="7" s="1"/>
  <c r="K18" i="7"/>
  <c r="L18" i="7" s="1"/>
  <c r="M18" i="7" s="1"/>
  <c r="N18" i="7" s="1"/>
  <c r="H18" i="7"/>
  <c r="I18" i="7" s="1"/>
  <c r="J18" i="7" s="1"/>
  <c r="K10" i="7"/>
  <c r="L10" i="7" s="1"/>
  <c r="M10" i="7" s="1"/>
  <c r="N10" i="7" s="1"/>
  <c r="H10" i="7"/>
  <c r="I10" i="7" s="1"/>
  <c r="K9" i="7"/>
  <c r="L9" i="7" s="1"/>
  <c r="M9" i="7" s="1"/>
  <c r="N9" i="7" s="1"/>
  <c r="H9" i="7"/>
  <c r="I9" i="7" s="1"/>
  <c r="J9" i="7" s="1"/>
  <c r="K39" i="7"/>
  <c r="L39" i="7" s="1"/>
  <c r="M39" i="7" s="1"/>
  <c r="N39" i="7" s="1"/>
  <c r="H39" i="7"/>
  <c r="I39" i="7" s="1"/>
  <c r="J39" i="7" s="1"/>
  <c r="K35" i="7"/>
  <c r="L35" i="7" s="1"/>
  <c r="M35" i="7" s="1"/>
  <c r="N35" i="7" s="1"/>
  <c r="H35" i="7"/>
  <c r="I35" i="7" s="1"/>
  <c r="J35" i="7" s="1"/>
  <c r="K17" i="7"/>
  <c r="L17" i="7" s="1"/>
  <c r="M17" i="7" s="1"/>
  <c r="N17" i="7" s="1"/>
  <c r="H17" i="7"/>
  <c r="I17" i="7" s="1"/>
  <c r="J17" i="7" s="1"/>
  <c r="K16" i="7"/>
  <c r="L16" i="7" s="1"/>
  <c r="M16" i="7" s="1"/>
  <c r="N16" i="7" s="1"/>
  <c r="H16" i="7"/>
  <c r="I16" i="7" s="1"/>
  <c r="J16" i="7" s="1"/>
  <c r="K15" i="7"/>
  <c r="L15" i="7" s="1"/>
  <c r="M15" i="7" s="1"/>
  <c r="N15" i="7" s="1"/>
  <c r="H15" i="7"/>
  <c r="I15" i="7" s="1"/>
  <c r="J15" i="7" s="1"/>
  <c r="K14" i="7"/>
  <c r="L14" i="7" s="1"/>
  <c r="M14" i="7" s="1"/>
  <c r="N14" i="7" s="1"/>
  <c r="H14" i="7"/>
  <c r="I14" i="7" s="1"/>
  <c r="J14" i="7" s="1"/>
  <c r="K13" i="7"/>
  <c r="L13" i="7" s="1"/>
  <c r="M13" i="7" s="1"/>
  <c r="N13" i="7" s="1"/>
  <c r="H13" i="7"/>
  <c r="I13" i="7" s="1"/>
  <c r="J13" i="7" s="1"/>
  <c r="K12" i="7"/>
  <c r="L12" i="7" s="1"/>
  <c r="M12" i="7" s="1"/>
  <c r="N12" i="7" s="1"/>
  <c r="H12" i="7"/>
  <c r="I12" i="7" s="1"/>
  <c r="J12" i="7" s="1"/>
  <c r="K11" i="7"/>
  <c r="L11" i="7" s="1"/>
  <c r="M11" i="7" s="1"/>
  <c r="N11" i="7" s="1"/>
  <c r="H11" i="7"/>
  <c r="I11" i="7" s="1"/>
  <c r="J11" i="7" s="1"/>
  <c r="K8" i="7"/>
  <c r="L8" i="7" s="1"/>
  <c r="M8" i="7" s="1"/>
  <c r="N8" i="7" s="1"/>
  <c r="H8" i="7"/>
  <c r="I8" i="7" s="1"/>
  <c r="J8" i="7" s="1"/>
  <c r="M7" i="7"/>
  <c r="N7" i="7" s="1"/>
  <c r="H7" i="7"/>
  <c r="I7" i="7" s="1"/>
  <c r="J7" i="7" s="1"/>
  <c r="J10" i="7" l="1"/>
  <c r="M40" i="7"/>
</calcChain>
</file>

<file path=xl/sharedStrings.xml><?xml version="1.0" encoding="utf-8"?>
<sst xmlns="http://schemas.openxmlformats.org/spreadsheetml/2006/main" count="99" uniqueCount="68">
  <si>
    <t>№</t>
  </si>
  <si>
    <t>Ед. изм</t>
  </si>
  <si>
    <t>Кол-во</t>
  </si>
  <si>
    <t>Среднее квадратичное отклонение</t>
  </si>
  <si>
    <t xml:space="preserve">Средняя арифметическая цена за единицу     &lt;ц&gt; </t>
  </si>
  <si>
    <t>Цена за единицу изм. (руб.)</t>
  </si>
  <si>
    <t>Цена за единицу изм. с округлением (вниз) до сотых долей после запятой (руб.)</t>
  </si>
  <si>
    <t>Наименование предмета товара (работы, услуги)</t>
  </si>
  <si>
    <t>Источник информации о цене (руб./ед.изм.)</t>
  </si>
  <si>
    <t>Однородность совокупности значений выявленных цен, используемых в расчете Н(М)ЦК**</t>
  </si>
  <si>
    <t>Заказчик подтверждает, что:</t>
  </si>
  <si>
    <t>Н(М)ЦК определяемая методом сопоставимых рыночных цен (анализа рынка)*</t>
  </si>
  <si>
    <t>шт.</t>
  </si>
  <si>
    <t>2. Характеристика товара (условия оказания услуг, выполнения работ) используемые для расчета НМЦК соответствуют описанию объекта закупки.</t>
  </si>
  <si>
    <t xml:space="preserve">В соответствии с ч.6 статьи 22 Федерального закона от 05.04.2013 N 44-ФЗ "О контрактной системе в сфере закупок товаров, работ, услуг для обеспечения государственных и муниципальных нужд" метод сопоставимых рыночных цен (анализа рынка) является приоритетным для определения и обоснования начальной (максимальной) цены контракта      </t>
  </si>
  <si>
    <t xml:space="preserve">*Определение НМЦК произведено Заказчиком в соответствии с Приказом Минэкономразвития России от 02.10.2013 № 567 "Об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исполнителем)"
 </t>
  </si>
  <si>
    <t>**В соответствии с п. 3.20.1 Методических рекомендаций, утвержденных Приказом Минэкономразвития России от 02.10.2013 № 567 расчет произведен с помощью стандартных функций табличного редактора EXCEL.</t>
  </si>
  <si>
    <r>
      <rPr>
        <b/>
        <sz val="10"/>
        <color indexed="8"/>
        <rFont val="Times New Roman"/>
        <family val="1"/>
        <charset val="204"/>
      </rPr>
      <t xml:space="preserve">коэффициент вариации цен V (%)           </t>
    </r>
    <r>
      <rPr>
        <i/>
        <sz val="10"/>
        <color indexed="8"/>
        <rFont val="Times New Roman"/>
        <family val="1"/>
        <charset val="204"/>
      </rPr>
      <t xml:space="preserve">         (не должен превышать 33%)</t>
    </r>
  </si>
  <si>
    <r>
      <rPr>
        <b/>
        <sz val="10"/>
        <color indexed="8"/>
        <rFont val="Times New Roman"/>
        <family val="1"/>
        <charset val="204"/>
      </rPr>
      <t>Расчет НМЦК по формуле</t>
    </r>
    <r>
      <rPr>
        <sz val="10"/>
        <color indexed="8"/>
        <rFont val="Times New Roman"/>
        <family val="1"/>
        <charset val="204"/>
      </rPr>
      <t xml:space="preserve">                             v - количество (объем) закупаемого товара (работы, услуги);
n - количество значений, используемых в расчете;
i - номер источника ценовой информации;
     - цена единицы</t>
    </r>
  </si>
  <si>
    <t>НМЦК с учетом округления цены за единицу (руб.)</t>
  </si>
  <si>
    <r>
      <t>В</t>
    </r>
    <r>
      <rPr>
        <b/>
        <sz val="12"/>
        <rFont val="Times New Roman"/>
        <family val="1"/>
        <charset val="204"/>
      </rPr>
      <t>В результате проведенного расчета Н(М)Ц контракта составила (в руб.):</t>
    </r>
    <r>
      <rPr>
        <b/>
        <sz val="12"/>
        <color indexed="9"/>
        <rFont val="Times New Roman"/>
        <family val="1"/>
        <charset val="204"/>
      </rPr>
      <t xml:space="preserve">ВВ </t>
    </r>
  </si>
  <si>
    <t>1. При расчете НМЦК использована информация в отношении показателей и стоимости не менее двух разных товарных знаков, а при отсутствии товарного знака - не менее двух разных производителей.</t>
  </si>
  <si>
    <t>Оснащение зон по видам работ Программы деятельности кластера среднего профессионального образования "Металлургия" ГБПОУ "Каслинский промышленно-гуманитарный техникум", расположенного по адресу: Челябинская область, г. Карабаш, ул. Металлургов, 1</t>
  </si>
  <si>
    <t>Коммерческое предложение № 19 от 18.02.2026 г.</t>
  </si>
  <si>
    <t>Учебный стенд "Тренажер сварщика"</t>
  </si>
  <si>
    <t>комплект</t>
  </si>
  <si>
    <t>Учебный стенд "Машина испытательная универсальная"</t>
  </si>
  <si>
    <t>Учебный аппарат для исследования микроструктур</t>
  </si>
  <si>
    <t>Учебный стенд "Двигатель автомобиля"</t>
  </si>
  <si>
    <t>Учебный стенд "Изучение электрического оборудования и мультиплексных сетей автомобилей"</t>
  </si>
  <si>
    <t>Структуроскоп</t>
  </si>
  <si>
    <t>Типовой комплект учебного оборудования "Промышленная автоматика и электропривод"</t>
  </si>
  <si>
    <t>Учебный комплекс по обработке металла резкой</t>
  </si>
  <si>
    <t>Мельница лабораторная</t>
  </si>
  <si>
    <t>Тестер воздуха</t>
  </si>
  <si>
    <t>рН-метр</t>
  </si>
  <si>
    <t>Ультразвуковой дефектоскоп</t>
  </si>
  <si>
    <t>Ультразвуковой толщиномер</t>
  </si>
  <si>
    <t>Термометр</t>
  </si>
  <si>
    <t>Штангенциркуль</t>
  </si>
  <si>
    <t>Микрометр</t>
  </si>
  <si>
    <t>Тестер давления топлива</t>
  </si>
  <si>
    <t>Осциллограф</t>
  </si>
  <si>
    <t>Газоанализатор</t>
  </si>
  <si>
    <t>Диагностический сканер</t>
  </si>
  <si>
    <t>Муфельная печь</t>
  </si>
  <si>
    <t>Модель механизма "Коническая зубчатая передача"</t>
  </si>
  <si>
    <t>Модель механизма "Цилиндрическая косозубая зубчатая передача"</t>
  </si>
  <si>
    <t>Модель механизма "Кулисно-рычажный механизм"</t>
  </si>
  <si>
    <t>Комплект мер твердости тип1, МТБ</t>
  </si>
  <si>
    <t>Используемый метод определения НМЦК с обоснованием:      Метод сопоставимых рыночных цен (анализа рынка)</t>
  </si>
  <si>
    <t>Обоснование начальной (максимальной) цены контракта:</t>
  </si>
  <si>
    <t xml:space="preserve">Коммерческое предложение № 27 от 19.02.2026 г. </t>
  </si>
  <si>
    <t>Коммерческое предложение № 10 от 19.02.2026 г.</t>
  </si>
  <si>
    <t>Оборудование учебное интерактивное</t>
  </si>
  <si>
    <t>Оборудование для мойки, заполнения, закупоривания или упаковывания бутылок или прочих емкостей; огнетушители, распылители, пароструйные или пескоструйные машины; прокладки</t>
  </si>
  <si>
    <t>Весы лабораторные</t>
  </si>
  <si>
    <t xml:space="preserve">Твердомер </t>
  </si>
  <si>
    <t>Комплект мер твердости тип2, МТР</t>
  </si>
  <si>
    <t>Лупа ручная, опорная, лупа с подсветкой с увеличением до 10 крат</t>
  </si>
  <si>
    <t>Аппарат прокалки</t>
  </si>
  <si>
    <t>Тестер аккумуляторов</t>
  </si>
  <si>
    <t>Ответственный</t>
  </si>
  <si>
    <t>Контрактный управляющий</t>
  </si>
  <si>
    <t>Пирогова Ю.В.</t>
  </si>
  <si>
    <t>(должность)</t>
  </si>
  <si>
    <t>(подпись/расшифровка)</t>
  </si>
  <si>
    <t>Приложение №2 к извещению
Реестровый номер 2723 – ЭА/2026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</si>
</sst>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6" x14ac:knownFonts="1">
    <font>
      <sz val="11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b/>
      <sz val="12"/>
      <color indexed="9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Calibri"/>
      <family val="2"/>
      <charset val="204"/>
      <scheme val="minor"/>
    </font>
    <font>
      <b/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3" fillId="0" borderId="0" xfId="0" applyFont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165" fontId="7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2" fontId="3" fillId="0" borderId="0" xfId="0" applyNumberFormat="1" applyFont="1" applyAlignment="1">
      <alignment vertical="center"/>
    </xf>
    <xf numFmtId="0" fontId="8" fillId="0" borderId="0" xfId="0" applyFont="1" applyAlignment="1">
      <alignment horizontal="justify" vertical="distributed" wrapText="1"/>
    </xf>
    <xf numFmtId="0" fontId="8" fillId="2" borderId="0" xfId="0" applyFont="1" applyFill="1" applyAlignment="1">
      <alignment horizontal="justify" vertical="distributed" wrapText="1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1" fillId="0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3" fillId="0" borderId="0" xfId="0" applyFont="1" applyBorder="1" applyAlignment="1">
      <alignment horizontal="left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4" fontId="11" fillId="2" borderId="3" xfId="0" applyNumberFormat="1" applyFont="1" applyFill="1" applyBorder="1" applyAlignment="1">
      <alignment horizontal="center" vertical="center" wrapText="1"/>
    </xf>
    <xf numFmtId="4" fontId="12" fillId="2" borderId="9" xfId="0" applyNumberFormat="1" applyFont="1" applyFill="1" applyBorder="1" applyAlignment="1">
      <alignment horizontal="center" vertical="center"/>
    </xf>
    <xf numFmtId="4" fontId="11" fillId="2" borderId="3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4" fontId="11" fillId="2" borderId="9" xfId="0" applyNumberFormat="1" applyFont="1" applyFill="1" applyBorder="1" applyAlignment="1">
      <alignment horizontal="center" vertical="center" wrapText="1"/>
    </xf>
    <xf numFmtId="4" fontId="11" fillId="2" borderId="9" xfId="0" applyNumberFormat="1" applyFont="1" applyFill="1" applyBorder="1" applyAlignment="1">
      <alignment horizontal="center" vertical="center"/>
    </xf>
    <xf numFmtId="4" fontId="6" fillId="0" borderId="0" xfId="0" applyNumberFormat="1" applyFont="1"/>
    <xf numFmtId="0" fontId="1" fillId="0" borderId="11" xfId="0" applyFont="1" applyBorder="1"/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12" xfId="0" applyFont="1" applyBorder="1" applyAlignment="1">
      <alignment horizontal="right"/>
    </xf>
    <xf numFmtId="0" fontId="8" fillId="0" borderId="0" xfId="0" applyFont="1" applyAlignment="1">
      <alignment horizontal="justify" vertical="distributed" wrapText="1"/>
    </xf>
    <xf numFmtId="0" fontId="3" fillId="0" borderId="0" xfId="0" applyFont="1" applyAlignment="1">
      <alignment horizontal="left"/>
    </xf>
    <xf numFmtId="0" fontId="1" fillId="0" borderId="0" xfId="0" applyFont="1" applyBorder="1" applyAlignment="1">
      <alignment vertical="distributed" wrapText="1"/>
    </xf>
    <xf numFmtId="0" fontId="6" fillId="0" borderId="0" xfId="0" applyFont="1" applyAlignment="1">
      <alignment vertical="distributed" wrapText="1"/>
    </xf>
    <xf numFmtId="0" fontId="13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Fill="1" applyBorder="1" applyAlignment="1">
      <alignment horizontal="center" vertical="center" wrapText="1"/>
    </xf>
    <xf numFmtId="165" fontId="9" fillId="0" borderId="7" xfId="0" applyNumberFormat="1" applyFont="1" applyBorder="1" applyAlignment="1">
      <alignment horizontal="left" vertical="center"/>
    </xf>
    <xf numFmtId="4" fontId="13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6</xdr:row>
      <xdr:rowOff>1892300</xdr:rowOff>
    </xdr:from>
    <xdr:to>
      <xdr:col>9</xdr:col>
      <xdr:colOff>771525</xdr:colOff>
      <xdr:row>6</xdr:row>
      <xdr:rowOff>2349499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34450" y="6702425"/>
          <a:ext cx="752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219075</xdr:colOff>
      <xdr:row>6</xdr:row>
      <xdr:rowOff>1762125</xdr:rowOff>
    </xdr:from>
    <xdr:to>
      <xdr:col>11</xdr:col>
      <xdr:colOff>371475</xdr:colOff>
      <xdr:row>6</xdr:row>
      <xdr:rowOff>1990725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068175" y="6705600"/>
          <a:ext cx="152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19050</xdr:colOff>
      <xdr:row>5</xdr:row>
      <xdr:rowOff>952500</xdr:rowOff>
    </xdr:from>
    <xdr:to>
      <xdr:col>8</xdr:col>
      <xdr:colOff>0</xdr:colOff>
      <xdr:row>5</xdr:row>
      <xdr:rowOff>1304925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981825" y="2619375"/>
          <a:ext cx="1019175" cy="352425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8</xdr:col>
      <xdr:colOff>304800</xdr:colOff>
      <xdr:row>5</xdr:row>
      <xdr:rowOff>1238250</xdr:rowOff>
    </xdr:from>
    <xdr:to>
      <xdr:col>8</xdr:col>
      <xdr:colOff>457200</xdr:colOff>
      <xdr:row>5</xdr:row>
      <xdr:rowOff>1466850</xdr:rowOff>
    </xdr:to>
    <xdr:pic>
      <xdr:nvPicPr>
        <xdr:cNvPr id="13" name="Picture 6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305800" y="2905125"/>
          <a:ext cx="152400" cy="228600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7</xdr:col>
      <xdr:colOff>19050</xdr:colOff>
      <xdr:row>5</xdr:row>
      <xdr:rowOff>952500</xdr:rowOff>
    </xdr:from>
    <xdr:to>
      <xdr:col>8</xdr:col>
      <xdr:colOff>0</xdr:colOff>
      <xdr:row>5</xdr:row>
      <xdr:rowOff>1304925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981825" y="2619375"/>
          <a:ext cx="1019175" cy="352425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8</xdr:col>
      <xdr:colOff>304800</xdr:colOff>
      <xdr:row>5</xdr:row>
      <xdr:rowOff>1238250</xdr:rowOff>
    </xdr:from>
    <xdr:to>
      <xdr:col>8</xdr:col>
      <xdr:colOff>457200</xdr:colOff>
      <xdr:row>5</xdr:row>
      <xdr:rowOff>1466850</xdr:rowOff>
    </xdr:to>
    <xdr:pic>
      <xdr:nvPicPr>
        <xdr:cNvPr id="15" name="Picture 6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305800" y="2905125"/>
          <a:ext cx="152400" cy="228600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9</xdr:col>
      <xdr:colOff>19050</xdr:colOff>
      <xdr:row>5</xdr:row>
      <xdr:rowOff>952500</xdr:rowOff>
    </xdr:from>
    <xdr:to>
      <xdr:col>10</xdr:col>
      <xdr:colOff>9525</xdr:colOff>
      <xdr:row>5</xdr:row>
      <xdr:rowOff>1304925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048750" y="2619375"/>
          <a:ext cx="942975" cy="352425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8</xdr:col>
      <xdr:colOff>19050</xdr:colOff>
      <xdr:row>5</xdr:row>
      <xdr:rowOff>923925</xdr:rowOff>
    </xdr:from>
    <xdr:to>
      <xdr:col>8</xdr:col>
      <xdr:colOff>1019175</xdr:colOff>
      <xdr:row>5</xdr:row>
      <xdr:rowOff>1362075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020050" y="2590800"/>
          <a:ext cx="1000125" cy="438150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10</xdr:col>
      <xdr:colOff>336550</xdr:colOff>
      <xdr:row>5</xdr:row>
      <xdr:rowOff>1562100</xdr:rowOff>
    </xdr:from>
    <xdr:to>
      <xdr:col>10</xdr:col>
      <xdr:colOff>1822450</xdr:colOff>
      <xdr:row>5</xdr:row>
      <xdr:rowOff>1924050</xdr:rowOff>
    </xdr:to>
    <xdr:pic>
      <xdr:nvPicPr>
        <xdr:cNvPr id="18" name="Picture 5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090150" y="3365500"/>
          <a:ext cx="1485900" cy="361950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10</xdr:col>
      <xdr:colOff>304800</xdr:colOff>
      <xdr:row>5</xdr:row>
      <xdr:rowOff>1238250</xdr:rowOff>
    </xdr:from>
    <xdr:to>
      <xdr:col>10</xdr:col>
      <xdr:colOff>466725</xdr:colOff>
      <xdr:row>5</xdr:row>
      <xdr:rowOff>1466850</xdr:rowOff>
    </xdr:to>
    <xdr:pic>
      <xdr:nvPicPr>
        <xdr:cNvPr id="19" name="Picture 6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287000" y="2905125"/>
          <a:ext cx="161925" cy="228600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5"/>
  <sheetViews>
    <sheetView tabSelected="1" zoomScale="80" zoomScaleNormal="80" workbookViewId="0">
      <selection activeCell="R3" sqref="R3"/>
    </sheetView>
  </sheetViews>
  <sheetFormatPr defaultRowHeight="15" x14ac:dyDescent="0.25"/>
  <cols>
    <col min="1" max="1" width="5.42578125" style="1" customWidth="1"/>
    <col min="2" max="2" width="44.140625" style="1" customWidth="1"/>
    <col min="3" max="3" width="9.85546875" style="1" customWidth="1"/>
    <col min="4" max="4" width="8.28515625" style="2" bestFit="1" customWidth="1"/>
    <col min="5" max="5" width="14.42578125" style="1" bestFit="1" customWidth="1"/>
    <col min="6" max="7" width="13.28515625" style="1" customWidth="1"/>
    <col min="8" max="8" width="13.28515625" style="1" bestFit="1" customWidth="1"/>
    <col min="9" max="9" width="13.140625" style="1" customWidth="1"/>
    <col min="10" max="10" width="12.140625" style="1" customWidth="1"/>
    <col min="11" max="11" width="31.85546875" style="1" customWidth="1"/>
    <col min="12" max="13" width="13.28515625" style="1" bestFit="1" customWidth="1"/>
    <col min="14" max="14" width="14.42578125" style="1" bestFit="1" customWidth="1"/>
    <col min="15" max="15" width="12.7109375" customWidth="1"/>
    <col min="16" max="16" width="12.28515625" bestFit="1" customWidth="1"/>
  </cols>
  <sheetData>
    <row r="1" spans="1:28" s="1" customFormat="1" ht="42.75" customHeight="1" x14ac:dyDescent="0.2">
      <c r="B1" s="22"/>
      <c r="C1" s="23"/>
      <c r="K1" s="49" t="s">
        <v>67</v>
      </c>
      <c r="L1" s="50"/>
      <c r="M1" s="50"/>
      <c r="N1" s="50"/>
      <c r="O1" s="24"/>
      <c r="P1" s="24"/>
      <c r="Q1" s="24"/>
      <c r="R1" s="24"/>
      <c r="S1" s="24"/>
      <c r="T1" s="24"/>
      <c r="U1" s="24"/>
      <c r="V1" s="3"/>
      <c r="W1" s="3"/>
      <c r="X1" s="3"/>
      <c r="Y1" s="3"/>
      <c r="Z1" s="3"/>
      <c r="AA1" s="3"/>
      <c r="AB1" s="3"/>
    </row>
    <row r="2" spans="1:28" s="9" customFormat="1" ht="18.75" x14ac:dyDescent="0.2">
      <c r="A2" s="51" t="s">
        <v>51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28" s="2" customFormat="1" ht="41.25" customHeight="1" x14ac:dyDescent="0.2">
      <c r="A3" s="52" t="s">
        <v>22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4"/>
      <c r="P3" s="4"/>
      <c r="Q3" s="4"/>
      <c r="R3" s="4"/>
      <c r="S3" s="4"/>
    </row>
    <row r="4" spans="1:28" s="2" customFormat="1" ht="17.25" customHeigh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4"/>
      <c r="P4" s="4"/>
      <c r="Q4" s="4"/>
      <c r="R4" s="4"/>
      <c r="S4" s="4"/>
    </row>
    <row r="5" spans="1:28" s="8" customFormat="1" ht="50.25" customHeight="1" x14ac:dyDescent="0.25">
      <c r="A5" s="53" t="s">
        <v>0</v>
      </c>
      <c r="B5" s="53" t="s">
        <v>7</v>
      </c>
      <c r="C5" s="54" t="s">
        <v>1</v>
      </c>
      <c r="D5" s="56" t="s">
        <v>2</v>
      </c>
      <c r="E5" s="58" t="s">
        <v>8</v>
      </c>
      <c r="F5" s="59"/>
      <c r="G5" s="60"/>
      <c r="H5" s="61" t="s">
        <v>9</v>
      </c>
      <c r="I5" s="62"/>
      <c r="J5" s="63"/>
      <c r="K5" s="58" t="s">
        <v>11</v>
      </c>
      <c r="L5" s="59"/>
      <c r="M5" s="59"/>
      <c r="N5" s="60"/>
    </row>
    <row r="6" spans="1:28" s="8" customFormat="1" ht="147" customHeight="1" x14ac:dyDescent="0.25">
      <c r="A6" s="53"/>
      <c r="B6" s="53"/>
      <c r="C6" s="55"/>
      <c r="D6" s="57"/>
      <c r="E6" s="26" t="s">
        <v>23</v>
      </c>
      <c r="F6" s="26" t="s">
        <v>52</v>
      </c>
      <c r="G6" s="26" t="s">
        <v>53</v>
      </c>
      <c r="H6" s="5" t="s">
        <v>4</v>
      </c>
      <c r="I6" s="5" t="s">
        <v>3</v>
      </c>
      <c r="J6" s="6" t="s">
        <v>17</v>
      </c>
      <c r="K6" s="7" t="s">
        <v>18</v>
      </c>
      <c r="L6" s="26" t="s">
        <v>5</v>
      </c>
      <c r="M6" s="26" t="s">
        <v>6</v>
      </c>
      <c r="N6" s="26" t="s">
        <v>19</v>
      </c>
    </row>
    <row r="7" spans="1:28" s="33" customFormat="1" x14ac:dyDescent="0.25">
      <c r="A7" s="27">
        <v>1</v>
      </c>
      <c r="B7" s="28" t="s">
        <v>54</v>
      </c>
      <c r="C7" s="29" t="s">
        <v>25</v>
      </c>
      <c r="D7" s="25">
        <v>5</v>
      </c>
      <c r="E7" s="30">
        <v>461454</v>
      </c>
      <c r="F7" s="31">
        <v>482512</v>
      </c>
      <c r="G7" s="31">
        <v>439490</v>
      </c>
      <c r="H7" s="30">
        <f t="shared" ref="H7:H39" si="0">AVERAGE(E7:G7)</f>
        <v>461152</v>
      </c>
      <c r="I7" s="32">
        <f t="shared" ref="I7:I39" si="1">SQRT(((SUM((POWER(G7-H7,2)),(POWER(F7-H7,2)),(POWER(E7-H7,2)))/(COLUMNS(E7:G7)-1))))</f>
        <v>21512.589895221819</v>
      </c>
      <c r="J7" s="32">
        <f t="shared" ref="J7:J39" si="2">I7/H7*100</f>
        <v>4.6649672765643038</v>
      </c>
      <c r="K7" s="30">
        <f>((D7/3)*(SUM(E7:G7)))</f>
        <v>2305760</v>
      </c>
      <c r="L7" s="30">
        <f>K7/D7</f>
        <v>461152</v>
      </c>
      <c r="M7" s="30">
        <f t="shared" ref="M7:M39" si="3">ROUNDDOWN(L7,2)</f>
        <v>461152</v>
      </c>
      <c r="N7" s="30">
        <f>M7*D7</f>
        <v>2305760</v>
      </c>
    </row>
    <row r="8" spans="1:28" s="33" customFormat="1" x14ac:dyDescent="0.25">
      <c r="A8" s="27">
        <v>2</v>
      </c>
      <c r="B8" s="28" t="s">
        <v>24</v>
      </c>
      <c r="C8" s="29" t="s">
        <v>25</v>
      </c>
      <c r="D8" s="25">
        <v>6</v>
      </c>
      <c r="E8" s="30">
        <v>2579324</v>
      </c>
      <c r="F8" s="31">
        <v>2386453</v>
      </c>
      <c r="G8" s="31">
        <v>2741691</v>
      </c>
      <c r="H8" s="30">
        <f t="shared" si="0"/>
        <v>2569156</v>
      </c>
      <c r="I8" s="32">
        <f t="shared" si="1"/>
        <v>177837.14552646194</v>
      </c>
      <c r="J8" s="32">
        <f t="shared" si="2"/>
        <v>6.922006508225345</v>
      </c>
      <c r="K8" s="30">
        <f t="shared" ref="K8:K39" si="4">((D8/3)*(SUM(E8:G8)))</f>
        <v>15414936</v>
      </c>
      <c r="L8" s="30">
        <f t="shared" ref="L8:L39" si="5">K8/D8</f>
        <v>2569156</v>
      </c>
      <c r="M8" s="30">
        <f t="shared" si="3"/>
        <v>2569156</v>
      </c>
      <c r="N8" s="30">
        <f t="shared" ref="N8:N39" si="6">M8*D8</f>
        <v>15414936</v>
      </c>
    </row>
    <row r="9" spans="1:28" s="33" customFormat="1" ht="25.5" x14ac:dyDescent="0.25">
      <c r="A9" s="27">
        <v>3</v>
      </c>
      <c r="B9" s="28" t="s">
        <v>26</v>
      </c>
      <c r="C9" s="29" t="s">
        <v>12</v>
      </c>
      <c r="D9" s="25">
        <v>1</v>
      </c>
      <c r="E9" s="30">
        <v>3549255</v>
      </c>
      <c r="F9" s="31">
        <v>3316199</v>
      </c>
      <c r="G9" s="31">
        <v>3760150</v>
      </c>
      <c r="H9" s="30">
        <f t="shared" ref="H9:H10" si="7">AVERAGE(E9:G9)</f>
        <v>3541868</v>
      </c>
      <c r="I9" s="32">
        <f t="shared" ref="I9:I10" si="8">SQRT(((SUM((POWER(G9-H9,2)),(POWER(F9-H9,2)),(POWER(E9-H9,2)))/(COLUMNS(E9:G9)-1))))</f>
        <v>222067.66632492898</v>
      </c>
      <c r="J9" s="32">
        <f t="shared" ref="J9:J10" si="9">I9/H9*100</f>
        <v>6.2697894536139973</v>
      </c>
      <c r="K9" s="30">
        <f t="shared" ref="K9:K10" si="10">((D9/3)*(SUM(E9:G9)))</f>
        <v>3541868</v>
      </c>
      <c r="L9" s="30">
        <f t="shared" ref="L9:L10" si="11">K9/D9</f>
        <v>3541868</v>
      </c>
      <c r="M9" s="30">
        <f t="shared" ref="M9:M10" si="12">ROUNDDOWN(L9,2)</f>
        <v>3541868</v>
      </c>
      <c r="N9" s="30">
        <f t="shared" ref="N9:N10" si="13">M9*D9</f>
        <v>3541868</v>
      </c>
    </row>
    <row r="10" spans="1:28" s="33" customFormat="1" x14ac:dyDescent="0.25">
      <c r="A10" s="27">
        <v>4</v>
      </c>
      <c r="B10" s="28" t="s">
        <v>27</v>
      </c>
      <c r="C10" s="29" t="s">
        <v>12</v>
      </c>
      <c r="D10" s="25">
        <v>13</v>
      </c>
      <c r="E10" s="30">
        <v>371090</v>
      </c>
      <c r="F10" s="31">
        <v>359804</v>
      </c>
      <c r="G10" s="31">
        <v>349076</v>
      </c>
      <c r="H10" s="30">
        <f t="shared" si="7"/>
        <v>359990</v>
      </c>
      <c r="I10" s="32">
        <f t="shared" si="8"/>
        <v>11008.178595934933</v>
      </c>
      <c r="J10" s="32">
        <f t="shared" si="9"/>
        <v>3.0579123297688637</v>
      </c>
      <c r="K10" s="30">
        <f t="shared" si="10"/>
        <v>4679870</v>
      </c>
      <c r="L10" s="30">
        <f t="shared" si="11"/>
        <v>359990</v>
      </c>
      <c r="M10" s="30">
        <f t="shared" si="12"/>
        <v>359990</v>
      </c>
      <c r="N10" s="30">
        <f t="shared" si="13"/>
        <v>4679870</v>
      </c>
    </row>
    <row r="11" spans="1:28" s="33" customFormat="1" x14ac:dyDescent="0.25">
      <c r="A11" s="27">
        <v>5</v>
      </c>
      <c r="B11" s="28" t="s">
        <v>28</v>
      </c>
      <c r="C11" s="29" t="s">
        <v>25</v>
      </c>
      <c r="D11" s="25">
        <v>1</v>
      </c>
      <c r="E11" s="30">
        <v>2719518</v>
      </c>
      <c r="F11" s="31">
        <v>2989020</v>
      </c>
      <c r="G11" s="31">
        <v>2660130</v>
      </c>
      <c r="H11" s="30">
        <f t="shared" si="0"/>
        <v>2789556</v>
      </c>
      <c r="I11" s="32">
        <f t="shared" si="1"/>
        <v>175274.49645627284</v>
      </c>
      <c r="J11" s="32">
        <f t="shared" si="2"/>
        <v>6.2832399298050596</v>
      </c>
      <c r="K11" s="30">
        <f t="shared" si="4"/>
        <v>2789556</v>
      </c>
      <c r="L11" s="30">
        <f t="shared" si="5"/>
        <v>2789556</v>
      </c>
      <c r="M11" s="30">
        <f t="shared" si="3"/>
        <v>2789556</v>
      </c>
      <c r="N11" s="30">
        <f t="shared" si="6"/>
        <v>2789556</v>
      </c>
    </row>
    <row r="12" spans="1:28" s="33" customFormat="1" ht="38.25" x14ac:dyDescent="0.25">
      <c r="A12" s="27">
        <v>6</v>
      </c>
      <c r="B12" s="28" t="s">
        <v>29</v>
      </c>
      <c r="C12" s="29" t="s">
        <v>25</v>
      </c>
      <c r="D12" s="25">
        <v>1</v>
      </c>
      <c r="E12" s="30">
        <v>4412025</v>
      </c>
      <c r="F12" s="31">
        <v>4250025</v>
      </c>
      <c r="G12" s="31">
        <v>4106025</v>
      </c>
      <c r="H12" s="30">
        <f t="shared" si="0"/>
        <v>4256025</v>
      </c>
      <c r="I12" s="32">
        <f t="shared" si="1"/>
        <v>153088.20986607688</v>
      </c>
      <c r="J12" s="32">
        <f t="shared" si="2"/>
        <v>3.596976283411796</v>
      </c>
      <c r="K12" s="30">
        <f t="shared" si="4"/>
        <v>4256025</v>
      </c>
      <c r="L12" s="30">
        <f t="shared" si="5"/>
        <v>4256025</v>
      </c>
      <c r="M12" s="30">
        <f t="shared" si="3"/>
        <v>4256025</v>
      </c>
      <c r="N12" s="30">
        <f t="shared" si="6"/>
        <v>4256025</v>
      </c>
    </row>
    <row r="13" spans="1:28" s="33" customFormat="1" x14ac:dyDescent="0.25">
      <c r="A13" s="27">
        <v>7</v>
      </c>
      <c r="B13" s="28" t="s">
        <v>30</v>
      </c>
      <c r="C13" s="29" t="s">
        <v>12</v>
      </c>
      <c r="D13" s="25">
        <v>13</v>
      </c>
      <c r="E13" s="30">
        <v>379466</v>
      </c>
      <c r="F13" s="31">
        <v>417516</v>
      </c>
      <c r="G13" s="31">
        <v>398392</v>
      </c>
      <c r="H13" s="30">
        <f t="shared" si="0"/>
        <v>398458</v>
      </c>
      <c r="I13" s="32">
        <f t="shared" si="1"/>
        <v>19025.085860515846</v>
      </c>
      <c r="J13" s="32">
        <f t="shared" si="2"/>
        <v>4.7746778482339032</v>
      </c>
      <c r="K13" s="30">
        <f t="shared" si="4"/>
        <v>5179954</v>
      </c>
      <c r="L13" s="30">
        <f t="shared" si="5"/>
        <v>398458</v>
      </c>
      <c r="M13" s="30">
        <f t="shared" si="3"/>
        <v>398458</v>
      </c>
      <c r="N13" s="30">
        <f t="shared" si="6"/>
        <v>5179954</v>
      </c>
    </row>
    <row r="14" spans="1:28" s="33" customFormat="1" ht="25.5" x14ac:dyDescent="0.25">
      <c r="A14" s="27">
        <v>8</v>
      </c>
      <c r="B14" s="28" t="s">
        <v>31</v>
      </c>
      <c r="C14" s="29" t="s">
        <v>25</v>
      </c>
      <c r="D14" s="25">
        <v>1</v>
      </c>
      <c r="E14" s="30">
        <v>3070000</v>
      </c>
      <c r="F14" s="31">
        <v>3150000</v>
      </c>
      <c r="G14" s="31">
        <v>3378689</v>
      </c>
      <c r="H14" s="30">
        <f t="shared" si="0"/>
        <v>3199563</v>
      </c>
      <c r="I14" s="32">
        <f t="shared" si="1"/>
        <v>160201.72566798399</v>
      </c>
      <c r="J14" s="32">
        <f t="shared" si="2"/>
        <v>5.0069876938814453</v>
      </c>
      <c r="K14" s="30">
        <f t="shared" si="4"/>
        <v>3199563</v>
      </c>
      <c r="L14" s="30">
        <f t="shared" si="5"/>
        <v>3199563</v>
      </c>
      <c r="M14" s="30">
        <f t="shared" si="3"/>
        <v>3199563</v>
      </c>
      <c r="N14" s="30">
        <f t="shared" si="6"/>
        <v>3199563</v>
      </c>
    </row>
    <row r="15" spans="1:28" s="33" customFormat="1" x14ac:dyDescent="0.25">
      <c r="A15" s="27">
        <v>9</v>
      </c>
      <c r="B15" s="28" t="s">
        <v>32</v>
      </c>
      <c r="C15" s="29" t="s">
        <v>25</v>
      </c>
      <c r="D15" s="25">
        <v>1</v>
      </c>
      <c r="E15" s="30">
        <v>3125704</v>
      </c>
      <c r="F15" s="31">
        <v>2820550</v>
      </c>
      <c r="G15" s="31">
        <v>2899450</v>
      </c>
      <c r="H15" s="30">
        <f t="shared" si="0"/>
        <v>2948568</v>
      </c>
      <c r="I15" s="32">
        <f t="shared" si="1"/>
        <v>158395.62611385455</v>
      </c>
      <c r="J15" s="32">
        <f t="shared" si="2"/>
        <v>5.3719509305484747</v>
      </c>
      <c r="K15" s="30">
        <f t="shared" si="4"/>
        <v>2948568</v>
      </c>
      <c r="L15" s="30">
        <f t="shared" si="5"/>
        <v>2948568</v>
      </c>
      <c r="M15" s="30">
        <f t="shared" si="3"/>
        <v>2948568</v>
      </c>
      <c r="N15" s="30">
        <f t="shared" si="6"/>
        <v>2948568</v>
      </c>
    </row>
    <row r="16" spans="1:28" s="33" customFormat="1" x14ac:dyDescent="0.25">
      <c r="A16" s="27">
        <v>10</v>
      </c>
      <c r="B16" s="28" t="s">
        <v>33</v>
      </c>
      <c r="C16" s="29" t="s">
        <v>12</v>
      </c>
      <c r="D16" s="25">
        <v>1</v>
      </c>
      <c r="E16" s="30">
        <v>24300</v>
      </c>
      <c r="F16" s="31">
        <v>23200</v>
      </c>
      <c r="G16" s="31">
        <v>23900</v>
      </c>
      <c r="H16" s="30">
        <f t="shared" si="0"/>
        <v>23800</v>
      </c>
      <c r="I16" s="32">
        <f t="shared" si="1"/>
        <v>556.77643628300223</v>
      </c>
      <c r="J16" s="32">
        <f t="shared" si="2"/>
        <v>2.3393967911050515</v>
      </c>
      <c r="K16" s="30">
        <f t="shared" si="4"/>
        <v>23800</v>
      </c>
      <c r="L16" s="30">
        <f t="shared" si="5"/>
        <v>23800</v>
      </c>
      <c r="M16" s="30">
        <f t="shared" si="3"/>
        <v>23800</v>
      </c>
      <c r="N16" s="30">
        <f t="shared" si="6"/>
        <v>23800</v>
      </c>
    </row>
    <row r="17" spans="1:14" s="33" customFormat="1" x14ac:dyDescent="0.25">
      <c r="A17" s="27">
        <v>11</v>
      </c>
      <c r="B17" s="28" t="s">
        <v>34</v>
      </c>
      <c r="C17" s="29" t="s">
        <v>12</v>
      </c>
      <c r="D17" s="25">
        <v>1</v>
      </c>
      <c r="E17" s="30">
        <v>76192</v>
      </c>
      <c r="F17" s="31">
        <v>84108</v>
      </c>
      <c r="G17" s="31">
        <v>89207</v>
      </c>
      <c r="H17" s="30">
        <f t="shared" si="0"/>
        <v>83169</v>
      </c>
      <c r="I17" s="32">
        <f t="shared" si="1"/>
        <v>6558.1130670338398</v>
      </c>
      <c r="J17" s="32">
        <f t="shared" si="2"/>
        <v>7.8852854633743821</v>
      </c>
      <c r="K17" s="30">
        <f t="shared" si="4"/>
        <v>83169</v>
      </c>
      <c r="L17" s="30">
        <f t="shared" si="5"/>
        <v>83169</v>
      </c>
      <c r="M17" s="30">
        <f t="shared" si="3"/>
        <v>83169</v>
      </c>
      <c r="N17" s="30">
        <f t="shared" si="6"/>
        <v>83169</v>
      </c>
    </row>
    <row r="18" spans="1:14" s="33" customFormat="1" x14ac:dyDescent="0.25">
      <c r="A18" s="27">
        <v>12</v>
      </c>
      <c r="B18" s="28" t="s">
        <v>35</v>
      </c>
      <c r="C18" s="29" t="s">
        <v>12</v>
      </c>
      <c r="D18" s="25">
        <v>2</v>
      </c>
      <c r="E18" s="30">
        <v>92105</v>
      </c>
      <c r="F18" s="31">
        <v>85870</v>
      </c>
      <c r="G18" s="31">
        <v>79650</v>
      </c>
      <c r="H18" s="30">
        <f t="shared" ref="H18:H19" si="14">AVERAGE(E18:G18)</f>
        <v>85875</v>
      </c>
      <c r="I18" s="32">
        <f t="shared" ref="I18:I19" si="15">SQRT(((SUM((POWER(G18-H18,2)),(POWER(F18-H18,2)),(POWER(E18-H18,2)))/(COLUMNS(E18:G18)-1))))</f>
        <v>6227.5015054193282</v>
      </c>
      <c r="J18" s="32">
        <f t="shared" ref="J18:J19" si="16">I18/H18*100</f>
        <v>7.2518212581302226</v>
      </c>
      <c r="K18" s="30">
        <f t="shared" ref="K18:K19" si="17">((D18/3)*(SUM(E18:G18)))</f>
        <v>171750</v>
      </c>
      <c r="L18" s="30">
        <f t="shared" ref="L18:L19" si="18">K18/D18</f>
        <v>85875</v>
      </c>
      <c r="M18" s="30">
        <f t="shared" ref="M18:M19" si="19">ROUNDDOWN(L18,2)</f>
        <v>85875</v>
      </c>
      <c r="N18" s="30">
        <f t="shared" ref="N18:N19" si="20">M18*D18</f>
        <v>171750</v>
      </c>
    </row>
    <row r="19" spans="1:14" s="33" customFormat="1" x14ac:dyDescent="0.25">
      <c r="A19" s="27">
        <v>13</v>
      </c>
      <c r="B19" s="28" t="s">
        <v>36</v>
      </c>
      <c r="C19" s="29" t="s">
        <v>12</v>
      </c>
      <c r="D19" s="25">
        <v>2</v>
      </c>
      <c r="E19" s="30">
        <v>603400</v>
      </c>
      <c r="F19" s="31">
        <v>635600</v>
      </c>
      <c r="G19" s="31">
        <v>660375</v>
      </c>
      <c r="H19" s="30">
        <f t="shared" si="14"/>
        <v>633125</v>
      </c>
      <c r="I19" s="32">
        <f t="shared" si="15"/>
        <v>28568.021895119025</v>
      </c>
      <c r="J19" s="32">
        <f t="shared" si="16"/>
        <v>4.5122245836318307</v>
      </c>
      <c r="K19" s="30">
        <f t="shared" si="17"/>
        <v>1266250</v>
      </c>
      <c r="L19" s="30">
        <f t="shared" si="18"/>
        <v>633125</v>
      </c>
      <c r="M19" s="30">
        <f t="shared" si="19"/>
        <v>633125</v>
      </c>
      <c r="N19" s="30">
        <f t="shared" si="20"/>
        <v>1266250</v>
      </c>
    </row>
    <row r="20" spans="1:14" s="33" customFormat="1" x14ac:dyDescent="0.25">
      <c r="A20" s="27">
        <v>14</v>
      </c>
      <c r="B20" s="28" t="s">
        <v>37</v>
      </c>
      <c r="C20" s="29" t="s">
        <v>12</v>
      </c>
      <c r="D20" s="25">
        <v>2</v>
      </c>
      <c r="E20" s="30">
        <v>121090</v>
      </c>
      <c r="F20" s="31">
        <v>163368</v>
      </c>
      <c r="G20" s="31">
        <v>140210</v>
      </c>
      <c r="H20" s="30">
        <f t="shared" ref="H20:H27" si="21">AVERAGE(E20:G20)</f>
        <v>141556</v>
      </c>
      <c r="I20" s="32">
        <f t="shared" ref="I20:I27" si="22">SQRT(((SUM((POWER(G20-H20,2)),(POWER(F20-H20,2)),(POWER(E20-H20,2)))/(COLUMNS(E20:G20)-1))))</f>
        <v>21171.114944659857</v>
      </c>
      <c r="J20" s="32">
        <f t="shared" ref="J20:J27" si="23">I20/H20*100</f>
        <v>14.955999706589518</v>
      </c>
      <c r="K20" s="30">
        <f t="shared" ref="K20:K27" si="24">((D20/3)*(SUM(E20:G20)))</f>
        <v>283112</v>
      </c>
      <c r="L20" s="30">
        <f t="shared" ref="L20:L27" si="25">K20/D20</f>
        <v>141556</v>
      </c>
      <c r="M20" s="30">
        <f t="shared" ref="M20:M27" si="26">ROUNDDOWN(L20,2)</f>
        <v>141556</v>
      </c>
      <c r="N20" s="30">
        <f t="shared" ref="N20:N27" si="27">M20*D20</f>
        <v>283112</v>
      </c>
    </row>
    <row r="21" spans="1:14" s="33" customFormat="1" x14ac:dyDescent="0.25">
      <c r="A21" s="27">
        <v>15</v>
      </c>
      <c r="B21" s="28" t="s">
        <v>38</v>
      </c>
      <c r="C21" s="29" t="s">
        <v>12</v>
      </c>
      <c r="D21" s="25">
        <v>13</v>
      </c>
      <c r="E21" s="30">
        <v>45670</v>
      </c>
      <c r="F21" s="31">
        <v>45313</v>
      </c>
      <c r="G21" s="31">
        <v>43330</v>
      </c>
      <c r="H21" s="30">
        <f t="shared" si="21"/>
        <v>44771</v>
      </c>
      <c r="I21" s="32">
        <f t="shared" si="22"/>
        <v>1260.6438831010128</v>
      </c>
      <c r="J21" s="32">
        <f t="shared" si="23"/>
        <v>2.8157599408121614</v>
      </c>
      <c r="K21" s="30">
        <f t="shared" si="24"/>
        <v>582023</v>
      </c>
      <c r="L21" s="30">
        <f t="shared" si="25"/>
        <v>44771</v>
      </c>
      <c r="M21" s="30">
        <f t="shared" si="26"/>
        <v>44771</v>
      </c>
      <c r="N21" s="30">
        <f t="shared" si="27"/>
        <v>582023</v>
      </c>
    </row>
    <row r="22" spans="1:14" s="33" customFormat="1" ht="63.75" x14ac:dyDescent="0.25">
      <c r="A22" s="27">
        <v>16</v>
      </c>
      <c r="B22" s="28" t="s">
        <v>55</v>
      </c>
      <c r="C22" s="29" t="s">
        <v>12</v>
      </c>
      <c r="D22" s="25">
        <v>1</v>
      </c>
      <c r="E22" s="30">
        <v>1805304</v>
      </c>
      <c r="F22" s="31">
        <v>1725000</v>
      </c>
      <c r="G22" s="31">
        <v>1916565</v>
      </c>
      <c r="H22" s="30">
        <f t="shared" si="21"/>
        <v>1815623</v>
      </c>
      <c r="I22" s="32">
        <f t="shared" si="22"/>
        <v>96198.485575397703</v>
      </c>
      <c r="J22" s="32">
        <f t="shared" si="23"/>
        <v>5.2983733724125379</v>
      </c>
      <c r="K22" s="30">
        <f t="shared" si="24"/>
        <v>1815623</v>
      </c>
      <c r="L22" s="30">
        <f t="shared" si="25"/>
        <v>1815623</v>
      </c>
      <c r="M22" s="30">
        <f t="shared" si="26"/>
        <v>1815623</v>
      </c>
      <c r="N22" s="30">
        <f t="shared" si="27"/>
        <v>1815623</v>
      </c>
    </row>
    <row r="23" spans="1:14" s="33" customFormat="1" x14ac:dyDescent="0.25">
      <c r="A23" s="27">
        <v>17</v>
      </c>
      <c r="B23" s="28" t="s">
        <v>56</v>
      </c>
      <c r="C23" s="29" t="s">
        <v>12</v>
      </c>
      <c r="D23" s="25">
        <v>3</v>
      </c>
      <c r="E23" s="30">
        <v>332000</v>
      </c>
      <c r="F23" s="31">
        <v>343138</v>
      </c>
      <c r="G23" s="31">
        <v>340206</v>
      </c>
      <c r="H23" s="30">
        <f t="shared" si="21"/>
        <v>338448</v>
      </c>
      <c r="I23" s="32">
        <f t="shared" si="22"/>
        <v>5773.3598536727295</v>
      </c>
      <c r="J23" s="32">
        <f t="shared" si="23"/>
        <v>1.7058336446581839</v>
      </c>
      <c r="K23" s="30">
        <f t="shared" si="24"/>
        <v>1015344</v>
      </c>
      <c r="L23" s="30">
        <f t="shared" si="25"/>
        <v>338448</v>
      </c>
      <c r="M23" s="30">
        <f t="shared" si="26"/>
        <v>338448</v>
      </c>
      <c r="N23" s="30">
        <f t="shared" si="27"/>
        <v>1015344</v>
      </c>
    </row>
    <row r="24" spans="1:14" s="33" customFormat="1" x14ac:dyDescent="0.25">
      <c r="A24" s="27">
        <v>18</v>
      </c>
      <c r="B24" s="28" t="s">
        <v>39</v>
      </c>
      <c r="C24" s="29" t="s">
        <v>12</v>
      </c>
      <c r="D24" s="25">
        <v>14</v>
      </c>
      <c r="E24" s="30">
        <v>1358</v>
      </c>
      <c r="F24" s="31">
        <v>1581</v>
      </c>
      <c r="G24" s="31">
        <v>1411</v>
      </c>
      <c r="H24" s="30">
        <f t="shared" si="21"/>
        <v>1450</v>
      </c>
      <c r="I24" s="32">
        <f t="shared" si="22"/>
        <v>116.50321883965266</v>
      </c>
      <c r="J24" s="32">
        <f t="shared" si="23"/>
        <v>8.0347047475622517</v>
      </c>
      <c r="K24" s="30">
        <f t="shared" si="24"/>
        <v>20300</v>
      </c>
      <c r="L24" s="30">
        <f t="shared" si="25"/>
        <v>1450</v>
      </c>
      <c r="M24" s="30">
        <f t="shared" si="26"/>
        <v>1450</v>
      </c>
      <c r="N24" s="30">
        <f t="shared" si="27"/>
        <v>20300</v>
      </c>
    </row>
    <row r="25" spans="1:14" s="33" customFormat="1" x14ac:dyDescent="0.25">
      <c r="A25" s="27">
        <v>19</v>
      </c>
      <c r="B25" s="28" t="s">
        <v>40</v>
      </c>
      <c r="C25" s="29" t="s">
        <v>12</v>
      </c>
      <c r="D25" s="25">
        <v>14</v>
      </c>
      <c r="E25" s="30">
        <v>3470</v>
      </c>
      <c r="F25" s="31">
        <v>3258</v>
      </c>
      <c r="G25" s="31">
        <v>3700</v>
      </c>
      <c r="H25" s="30">
        <f t="shared" si="21"/>
        <v>3476</v>
      </c>
      <c r="I25" s="32">
        <f t="shared" si="22"/>
        <v>221.06107753288455</v>
      </c>
      <c r="J25" s="32">
        <f t="shared" si="23"/>
        <v>6.3596397449046185</v>
      </c>
      <c r="K25" s="30">
        <f t="shared" si="24"/>
        <v>48664</v>
      </c>
      <c r="L25" s="30">
        <f t="shared" si="25"/>
        <v>3476</v>
      </c>
      <c r="M25" s="30">
        <f t="shared" si="26"/>
        <v>3476</v>
      </c>
      <c r="N25" s="30">
        <f t="shared" si="27"/>
        <v>48664</v>
      </c>
    </row>
    <row r="26" spans="1:14" s="33" customFormat="1" x14ac:dyDescent="0.25">
      <c r="A26" s="27">
        <v>20</v>
      </c>
      <c r="B26" s="28" t="s">
        <v>41</v>
      </c>
      <c r="C26" s="29" t="s">
        <v>12</v>
      </c>
      <c r="D26" s="25">
        <v>1</v>
      </c>
      <c r="E26" s="30">
        <v>5532</v>
      </c>
      <c r="F26" s="31">
        <v>5990</v>
      </c>
      <c r="G26" s="31">
        <v>5431</v>
      </c>
      <c r="H26" s="30">
        <f t="shared" si="21"/>
        <v>5651</v>
      </c>
      <c r="I26" s="32">
        <f t="shared" si="22"/>
        <v>297.89427654790552</v>
      </c>
      <c r="J26" s="32">
        <f t="shared" si="23"/>
        <v>5.271532057120961</v>
      </c>
      <c r="K26" s="30">
        <f t="shared" si="24"/>
        <v>5651</v>
      </c>
      <c r="L26" s="30">
        <f t="shared" si="25"/>
        <v>5651</v>
      </c>
      <c r="M26" s="30">
        <f t="shared" si="26"/>
        <v>5651</v>
      </c>
      <c r="N26" s="30">
        <f t="shared" si="27"/>
        <v>5651</v>
      </c>
    </row>
    <row r="27" spans="1:14" s="33" customFormat="1" x14ac:dyDescent="0.25">
      <c r="A27" s="27">
        <v>21</v>
      </c>
      <c r="B27" s="28" t="s">
        <v>61</v>
      </c>
      <c r="C27" s="29" t="s">
        <v>12</v>
      </c>
      <c r="D27" s="25">
        <v>1</v>
      </c>
      <c r="E27" s="30">
        <v>18376</v>
      </c>
      <c r="F27" s="31">
        <v>16292</v>
      </c>
      <c r="G27" s="31">
        <v>18750</v>
      </c>
      <c r="H27" s="30">
        <f t="shared" si="21"/>
        <v>17806</v>
      </c>
      <c r="I27" s="32">
        <f t="shared" si="22"/>
        <v>1324.4304436247303</v>
      </c>
      <c r="J27" s="32">
        <f t="shared" si="23"/>
        <v>7.4381132406196242</v>
      </c>
      <c r="K27" s="30">
        <f t="shared" si="24"/>
        <v>17806</v>
      </c>
      <c r="L27" s="30">
        <f t="shared" si="25"/>
        <v>17806</v>
      </c>
      <c r="M27" s="30">
        <f t="shared" si="26"/>
        <v>17806</v>
      </c>
      <c r="N27" s="30">
        <f t="shared" si="27"/>
        <v>17806</v>
      </c>
    </row>
    <row r="28" spans="1:14" s="33" customFormat="1" x14ac:dyDescent="0.25">
      <c r="A28" s="27">
        <v>22</v>
      </c>
      <c r="B28" s="28" t="s">
        <v>42</v>
      </c>
      <c r="C28" s="29" t="s">
        <v>12</v>
      </c>
      <c r="D28" s="25">
        <v>1</v>
      </c>
      <c r="E28" s="30">
        <v>52741</v>
      </c>
      <c r="F28" s="31">
        <v>48589</v>
      </c>
      <c r="G28" s="31">
        <v>51670</v>
      </c>
      <c r="H28" s="30">
        <f t="shared" ref="H28:H34" si="28">AVERAGE(E28:G28)</f>
        <v>51000</v>
      </c>
      <c r="I28" s="32">
        <f t="shared" ref="I28:I34" si="29">SQRT(((SUM((POWER(G28-H28,2)),(POWER(F28-H28,2)),(POWER(E28-H28,2)))/(COLUMNS(E28:G28)-1))))</f>
        <v>2155.5628035387881</v>
      </c>
      <c r="J28" s="32">
        <f t="shared" ref="J28:J34" si="30">I28/H28*100</f>
        <v>4.2265937324289959</v>
      </c>
      <c r="K28" s="30">
        <f t="shared" ref="K28:K34" si="31">((D28/3)*(SUM(E28:G28)))</f>
        <v>51000</v>
      </c>
      <c r="L28" s="30">
        <f t="shared" ref="L28:L34" si="32">K28/D28</f>
        <v>51000</v>
      </c>
      <c r="M28" s="30">
        <f t="shared" ref="M28:M34" si="33">ROUNDDOWN(L28,2)</f>
        <v>51000</v>
      </c>
      <c r="N28" s="30">
        <f t="shared" ref="N28:N34" si="34">M28*D28</f>
        <v>51000</v>
      </c>
    </row>
    <row r="29" spans="1:14" s="33" customFormat="1" x14ac:dyDescent="0.25">
      <c r="A29" s="27">
        <v>23</v>
      </c>
      <c r="B29" s="35" t="s">
        <v>43</v>
      </c>
      <c r="C29" s="36" t="s">
        <v>12</v>
      </c>
      <c r="D29" s="37">
        <v>1</v>
      </c>
      <c r="E29" s="38">
        <v>67649</v>
      </c>
      <c r="F29" s="31">
        <v>63930</v>
      </c>
      <c r="G29" s="31">
        <v>69103</v>
      </c>
      <c r="H29" s="38">
        <f t="shared" si="28"/>
        <v>66894</v>
      </c>
      <c r="I29" s="39">
        <f t="shared" si="29"/>
        <v>2667.8645018066418</v>
      </c>
      <c r="J29" s="39">
        <f t="shared" si="30"/>
        <v>3.9881970009367684</v>
      </c>
      <c r="K29" s="38">
        <f t="shared" si="31"/>
        <v>66894</v>
      </c>
      <c r="L29" s="38">
        <f t="shared" si="32"/>
        <v>66894</v>
      </c>
      <c r="M29" s="38">
        <f t="shared" si="33"/>
        <v>66894</v>
      </c>
      <c r="N29" s="38">
        <f t="shared" si="34"/>
        <v>66894</v>
      </c>
    </row>
    <row r="30" spans="1:14" s="33" customFormat="1" x14ac:dyDescent="0.25">
      <c r="A30" s="27">
        <v>24</v>
      </c>
      <c r="B30" s="35" t="s">
        <v>44</v>
      </c>
      <c r="C30" s="36" t="s">
        <v>12</v>
      </c>
      <c r="D30" s="37">
        <v>1</v>
      </c>
      <c r="E30" s="38">
        <v>5115</v>
      </c>
      <c r="F30" s="31">
        <v>4880</v>
      </c>
      <c r="G30" s="31">
        <v>4969</v>
      </c>
      <c r="H30" s="38">
        <f t="shared" si="28"/>
        <v>4988</v>
      </c>
      <c r="I30" s="39">
        <f t="shared" si="29"/>
        <v>118.64653387267578</v>
      </c>
      <c r="J30" s="39">
        <f t="shared" si="30"/>
        <v>2.3786394120424172</v>
      </c>
      <c r="K30" s="38">
        <f t="shared" si="31"/>
        <v>4988</v>
      </c>
      <c r="L30" s="38">
        <f t="shared" si="32"/>
        <v>4988</v>
      </c>
      <c r="M30" s="38">
        <f t="shared" si="33"/>
        <v>4988</v>
      </c>
      <c r="N30" s="38">
        <f t="shared" si="34"/>
        <v>4988</v>
      </c>
    </row>
    <row r="31" spans="1:14" s="33" customFormat="1" x14ac:dyDescent="0.25">
      <c r="A31" s="27">
        <v>25</v>
      </c>
      <c r="B31" s="35" t="s">
        <v>45</v>
      </c>
      <c r="C31" s="36" t="s">
        <v>12</v>
      </c>
      <c r="D31" s="37">
        <v>1</v>
      </c>
      <c r="E31" s="38">
        <v>197150</v>
      </c>
      <c r="F31" s="31">
        <v>203790</v>
      </c>
      <c r="G31" s="31">
        <v>189760</v>
      </c>
      <c r="H31" s="38">
        <f t="shared" si="28"/>
        <v>196900</v>
      </c>
      <c r="I31" s="39">
        <f t="shared" si="29"/>
        <v>7018.3402596340393</v>
      </c>
      <c r="J31" s="39">
        <f t="shared" si="30"/>
        <v>3.564418618402255</v>
      </c>
      <c r="K31" s="38">
        <f t="shared" si="31"/>
        <v>196900</v>
      </c>
      <c r="L31" s="38">
        <f t="shared" si="32"/>
        <v>196900</v>
      </c>
      <c r="M31" s="38">
        <f t="shared" si="33"/>
        <v>196900</v>
      </c>
      <c r="N31" s="38">
        <f t="shared" si="34"/>
        <v>196900</v>
      </c>
    </row>
    <row r="32" spans="1:14" s="33" customFormat="1" x14ac:dyDescent="0.25">
      <c r="A32" s="27">
        <v>26</v>
      </c>
      <c r="B32" s="35" t="s">
        <v>46</v>
      </c>
      <c r="C32" s="36" t="s">
        <v>12</v>
      </c>
      <c r="D32" s="37">
        <v>1</v>
      </c>
      <c r="E32" s="38">
        <v>122040</v>
      </c>
      <c r="F32" s="31">
        <v>134500</v>
      </c>
      <c r="G32" s="31">
        <v>130460</v>
      </c>
      <c r="H32" s="38">
        <f t="shared" si="28"/>
        <v>129000</v>
      </c>
      <c r="I32" s="39">
        <f t="shared" si="29"/>
        <v>6357.0118766602918</v>
      </c>
      <c r="J32" s="39">
        <f t="shared" si="30"/>
        <v>4.9279161834575902</v>
      </c>
      <c r="K32" s="38">
        <f t="shared" si="31"/>
        <v>129000</v>
      </c>
      <c r="L32" s="38">
        <f t="shared" si="32"/>
        <v>129000</v>
      </c>
      <c r="M32" s="38">
        <f t="shared" si="33"/>
        <v>129000</v>
      </c>
      <c r="N32" s="38">
        <f t="shared" si="34"/>
        <v>129000</v>
      </c>
    </row>
    <row r="33" spans="1:20" s="33" customFormat="1" ht="25.5" x14ac:dyDescent="0.25">
      <c r="A33" s="27">
        <v>27</v>
      </c>
      <c r="B33" s="35" t="s">
        <v>47</v>
      </c>
      <c r="C33" s="36" t="s">
        <v>12</v>
      </c>
      <c r="D33" s="37">
        <v>1</v>
      </c>
      <c r="E33" s="38">
        <v>131200</v>
      </c>
      <c r="F33" s="31">
        <v>137200</v>
      </c>
      <c r="G33" s="31">
        <v>135100</v>
      </c>
      <c r="H33" s="38">
        <f t="shared" si="28"/>
        <v>134500</v>
      </c>
      <c r="I33" s="39">
        <f t="shared" si="29"/>
        <v>3044.6674695276656</v>
      </c>
      <c r="J33" s="39">
        <f t="shared" si="30"/>
        <v>2.2636932858941754</v>
      </c>
      <c r="K33" s="38">
        <f t="shared" si="31"/>
        <v>134500</v>
      </c>
      <c r="L33" s="38">
        <f t="shared" si="32"/>
        <v>134500</v>
      </c>
      <c r="M33" s="38">
        <f t="shared" si="33"/>
        <v>134500</v>
      </c>
      <c r="N33" s="38">
        <f t="shared" si="34"/>
        <v>134500</v>
      </c>
    </row>
    <row r="34" spans="1:20" s="33" customFormat="1" x14ac:dyDescent="0.25">
      <c r="A34" s="27">
        <v>28</v>
      </c>
      <c r="B34" s="35" t="s">
        <v>48</v>
      </c>
      <c r="C34" s="36" t="s">
        <v>12</v>
      </c>
      <c r="D34" s="37">
        <v>1</v>
      </c>
      <c r="E34" s="38">
        <v>121900</v>
      </c>
      <c r="F34" s="31">
        <v>137745</v>
      </c>
      <c r="G34" s="31">
        <v>133400</v>
      </c>
      <c r="H34" s="38">
        <f t="shared" si="28"/>
        <v>131015</v>
      </c>
      <c r="I34" s="39">
        <f t="shared" si="29"/>
        <v>8187.3179369070549</v>
      </c>
      <c r="J34" s="39">
        <f t="shared" si="30"/>
        <v>6.2491454695317747</v>
      </c>
      <c r="K34" s="38">
        <f t="shared" si="31"/>
        <v>131015</v>
      </c>
      <c r="L34" s="38">
        <f t="shared" si="32"/>
        <v>131015</v>
      </c>
      <c r="M34" s="38">
        <f t="shared" si="33"/>
        <v>131015</v>
      </c>
      <c r="N34" s="38">
        <f t="shared" si="34"/>
        <v>131015</v>
      </c>
    </row>
    <row r="35" spans="1:20" s="33" customFormat="1" x14ac:dyDescent="0.25">
      <c r="A35" s="27">
        <v>29</v>
      </c>
      <c r="B35" s="28" t="s">
        <v>57</v>
      </c>
      <c r="C35" s="29" t="s">
        <v>12</v>
      </c>
      <c r="D35" s="25">
        <v>6</v>
      </c>
      <c r="E35" s="30">
        <v>148500</v>
      </c>
      <c r="F35" s="31">
        <v>141000</v>
      </c>
      <c r="G35" s="31">
        <v>157572</v>
      </c>
      <c r="H35" s="30">
        <f t="shared" si="0"/>
        <v>149024</v>
      </c>
      <c r="I35" s="32">
        <f t="shared" si="1"/>
        <v>8298.4171984782733</v>
      </c>
      <c r="J35" s="32">
        <f t="shared" si="2"/>
        <v>5.5685105744566465</v>
      </c>
      <c r="K35" s="30">
        <f t="shared" si="4"/>
        <v>894144</v>
      </c>
      <c r="L35" s="30">
        <f t="shared" si="5"/>
        <v>149024</v>
      </c>
      <c r="M35" s="30">
        <f t="shared" si="3"/>
        <v>149024</v>
      </c>
      <c r="N35" s="30">
        <f t="shared" si="6"/>
        <v>894144</v>
      </c>
    </row>
    <row r="36" spans="1:20" s="33" customFormat="1" x14ac:dyDescent="0.25">
      <c r="A36" s="27">
        <v>30</v>
      </c>
      <c r="B36" s="35" t="s">
        <v>49</v>
      </c>
      <c r="C36" s="36" t="s">
        <v>12</v>
      </c>
      <c r="D36" s="37">
        <v>13</v>
      </c>
      <c r="E36" s="38">
        <v>28555</v>
      </c>
      <c r="F36" s="31">
        <v>28945</v>
      </c>
      <c r="G36" s="31">
        <v>28150</v>
      </c>
      <c r="H36" s="38">
        <f t="shared" si="0"/>
        <v>28550</v>
      </c>
      <c r="I36" s="39">
        <f t="shared" si="1"/>
        <v>397.52358420601917</v>
      </c>
      <c r="J36" s="39">
        <f t="shared" si="2"/>
        <v>1.3923768273415733</v>
      </c>
      <c r="K36" s="38">
        <f t="shared" si="4"/>
        <v>371150</v>
      </c>
      <c r="L36" s="38">
        <f t="shared" si="5"/>
        <v>28550</v>
      </c>
      <c r="M36" s="38">
        <f t="shared" si="3"/>
        <v>28550</v>
      </c>
      <c r="N36" s="38">
        <f t="shared" si="6"/>
        <v>371150</v>
      </c>
    </row>
    <row r="37" spans="1:20" s="33" customFormat="1" x14ac:dyDescent="0.25">
      <c r="A37" s="27">
        <v>31</v>
      </c>
      <c r="B37" s="35" t="s">
        <v>58</v>
      </c>
      <c r="C37" s="36" t="s">
        <v>12</v>
      </c>
      <c r="D37" s="37">
        <v>13</v>
      </c>
      <c r="E37" s="38">
        <v>29119</v>
      </c>
      <c r="F37" s="31">
        <v>31567</v>
      </c>
      <c r="G37" s="31">
        <v>27691</v>
      </c>
      <c r="H37" s="38">
        <f t="shared" si="0"/>
        <v>29459</v>
      </c>
      <c r="I37" s="39">
        <f t="shared" si="1"/>
        <v>1960.2408015343422</v>
      </c>
      <c r="J37" s="39">
        <f t="shared" si="2"/>
        <v>6.6541321889213547</v>
      </c>
      <c r="K37" s="38">
        <f t="shared" si="4"/>
        <v>382967</v>
      </c>
      <c r="L37" s="38">
        <f t="shared" si="5"/>
        <v>29459</v>
      </c>
      <c r="M37" s="38">
        <f t="shared" si="3"/>
        <v>29459</v>
      </c>
      <c r="N37" s="38">
        <f t="shared" si="6"/>
        <v>382967</v>
      </c>
    </row>
    <row r="38" spans="1:20" s="33" customFormat="1" ht="25.5" x14ac:dyDescent="0.25">
      <c r="A38" s="27">
        <v>32</v>
      </c>
      <c r="B38" s="35" t="s">
        <v>59</v>
      </c>
      <c r="C38" s="36" t="s">
        <v>12</v>
      </c>
      <c r="D38" s="37">
        <v>13</v>
      </c>
      <c r="E38" s="38">
        <v>7630</v>
      </c>
      <c r="F38" s="31">
        <v>7870</v>
      </c>
      <c r="G38" s="31">
        <v>8290</v>
      </c>
      <c r="H38" s="38">
        <f t="shared" si="0"/>
        <v>7930</v>
      </c>
      <c r="I38" s="39">
        <f t="shared" si="1"/>
        <v>334.0658617698013</v>
      </c>
      <c r="J38" s="39">
        <f t="shared" si="2"/>
        <v>4.2126842593921978</v>
      </c>
      <c r="K38" s="38">
        <f t="shared" si="4"/>
        <v>103090</v>
      </c>
      <c r="L38" s="38">
        <f t="shared" si="5"/>
        <v>7930</v>
      </c>
      <c r="M38" s="38">
        <f t="shared" si="3"/>
        <v>7930</v>
      </c>
      <c r="N38" s="38">
        <f t="shared" si="6"/>
        <v>103090</v>
      </c>
    </row>
    <row r="39" spans="1:20" s="33" customFormat="1" x14ac:dyDescent="0.25">
      <c r="A39" s="27">
        <v>33</v>
      </c>
      <c r="B39" s="28" t="s">
        <v>60</v>
      </c>
      <c r="C39" s="29" t="s">
        <v>12</v>
      </c>
      <c r="D39" s="25">
        <v>1</v>
      </c>
      <c r="E39" s="30">
        <v>28060</v>
      </c>
      <c r="F39" s="31">
        <v>26240</v>
      </c>
      <c r="G39" s="31">
        <v>28500</v>
      </c>
      <c r="H39" s="30">
        <f t="shared" si="0"/>
        <v>27600</v>
      </c>
      <c r="I39" s="32">
        <f t="shared" si="1"/>
        <v>1198.1652640600128</v>
      </c>
      <c r="J39" s="32">
        <f t="shared" si="2"/>
        <v>4.3411784929710606</v>
      </c>
      <c r="K39" s="30">
        <f t="shared" si="4"/>
        <v>27600</v>
      </c>
      <c r="L39" s="30">
        <f t="shared" si="5"/>
        <v>27600</v>
      </c>
      <c r="M39" s="30">
        <f t="shared" si="3"/>
        <v>27600</v>
      </c>
      <c r="N39" s="30">
        <f t="shared" si="6"/>
        <v>27600</v>
      </c>
    </row>
    <row r="40" spans="1:20" s="9" customFormat="1" ht="18.75" x14ac:dyDescent="0.2">
      <c r="A40" s="64" t="s">
        <v>20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5">
        <f>SUM(N7:N39)</f>
        <v>52142840</v>
      </c>
      <c r="N40" s="65"/>
      <c r="P40" s="40"/>
    </row>
    <row r="41" spans="1:20" s="9" customFormat="1" ht="12.75" x14ac:dyDescent="0.2">
      <c r="A41" s="10"/>
      <c r="B41" s="10"/>
      <c r="C41" s="10"/>
      <c r="D41" s="11"/>
      <c r="E41" s="10"/>
      <c r="F41" s="10"/>
      <c r="G41" s="10"/>
      <c r="H41" s="12"/>
      <c r="I41" s="13"/>
      <c r="J41" s="13"/>
      <c r="K41" s="13"/>
      <c r="L41" s="13"/>
      <c r="M41" s="13"/>
      <c r="N41" s="14"/>
    </row>
    <row r="42" spans="1:20" s="1" customFormat="1" ht="12.75" x14ac:dyDescent="0.2">
      <c r="A42" s="66" t="s">
        <v>50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</row>
    <row r="43" spans="1:20" s="1" customFormat="1" ht="33.75" customHeight="1" x14ac:dyDescent="0.2">
      <c r="A43" s="67" t="s">
        <v>14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3"/>
      <c r="P43" s="3"/>
      <c r="Q43" s="3"/>
      <c r="R43" s="3"/>
      <c r="S43" s="3"/>
      <c r="T43" s="3"/>
    </row>
    <row r="44" spans="1:20" s="9" customFormat="1" ht="29.25" customHeight="1" x14ac:dyDescent="0.2">
      <c r="A44" s="47" t="s">
        <v>15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</row>
    <row r="45" spans="1:20" s="9" customFormat="1" ht="12.75" x14ac:dyDescent="0.2">
      <c r="A45" s="45" t="s">
        <v>16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</row>
    <row r="46" spans="1:20" s="9" customFormat="1" ht="12.75" x14ac:dyDescent="0.2">
      <c r="A46" s="45" t="s">
        <v>10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</row>
    <row r="47" spans="1:20" s="9" customFormat="1" ht="12.75" x14ac:dyDescent="0.2">
      <c r="A47" s="45" t="s">
        <v>21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</row>
    <row r="48" spans="1:20" s="9" customFormat="1" ht="12.75" x14ac:dyDescent="0.2">
      <c r="A48" s="15"/>
      <c r="B48" s="15"/>
      <c r="C48" s="15"/>
      <c r="D48" s="16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s="9" customFormat="1" ht="12.75" x14ac:dyDescent="0.2">
      <c r="A49" s="45" t="s">
        <v>13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</row>
    <row r="50" spans="1:14" s="9" customFormat="1" ht="12.75" x14ac:dyDescent="0.2">
      <c r="A50" s="46"/>
      <c r="B50" s="46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9" customFormat="1" ht="12.75" x14ac:dyDescent="0.2">
      <c r="A51" s="17"/>
      <c r="B51" s="17"/>
      <c r="C51" s="17"/>
      <c r="D51" s="2"/>
      <c r="E51" s="18"/>
      <c r="F51" s="19"/>
      <c r="G51" s="20"/>
      <c r="H51" s="21"/>
      <c r="I51" s="21"/>
      <c r="J51" s="21"/>
      <c r="K51" s="21"/>
      <c r="L51" s="21"/>
      <c r="M51" s="21"/>
      <c r="N51" s="21"/>
    </row>
    <row r="52" spans="1:14" s="9" customFormat="1" ht="12.75" x14ac:dyDescent="0.2">
      <c r="A52" s="1"/>
      <c r="B52" s="43" t="s">
        <v>62</v>
      </c>
      <c r="C52" s="4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9" customFormat="1" ht="12.75" x14ac:dyDescent="0.2">
      <c r="A53" s="1"/>
      <c r="B53" s="41"/>
      <c r="C53" s="41" t="s">
        <v>63</v>
      </c>
      <c r="D53" s="41"/>
      <c r="E53" s="41"/>
      <c r="F53" s="41"/>
      <c r="G53" s="41"/>
      <c r="H53" s="42" t="s">
        <v>64</v>
      </c>
      <c r="I53" s="1"/>
      <c r="J53" s="1"/>
      <c r="K53" s="1"/>
      <c r="L53" s="1"/>
      <c r="M53" s="1"/>
      <c r="N53" s="1"/>
    </row>
    <row r="54" spans="1:14" x14ac:dyDescent="0.25">
      <c r="C54" s="1" t="s">
        <v>65</v>
      </c>
      <c r="D54" s="1"/>
      <c r="F54" s="44" t="s">
        <v>66</v>
      </c>
      <c r="G54" s="44"/>
      <c r="H54" s="44"/>
    </row>
    <row r="55" spans="1:14" x14ac:dyDescent="0.25">
      <c r="D55" s="1"/>
    </row>
  </sheetData>
  <mergeCells count="22">
    <mergeCell ref="A44:N44"/>
    <mergeCell ref="K1:N1"/>
    <mergeCell ref="A2:N2"/>
    <mergeCell ref="A3:N3"/>
    <mergeCell ref="A5:A6"/>
    <mergeCell ref="B5:B6"/>
    <mergeCell ref="C5:C6"/>
    <mergeCell ref="D5:D6"/>
    <mergeCell ref="E5:G5"/>
    <mergeCell ref="H5:J5"/>
    <mergeCell ref="K5:N5"/>
    <mergeCell ref="A40:L40"/>
    <mergeCell ref="M40:N40"/>
    <mergeCell ref="A42:N42"/>
    <mergeCell ref="A43:N43"/>
    <mergeCell ref="B52:C52"/>
    <mergeCell ref="F54:H54"/>
    <mergeCell ref="A45:N45"/>
    <mergeCell ref="A46:N46"/>
    <mergeCell ref="A47:N47"/>
    <mergeCell ref="A49:N49"/>
    <mergeCell ref="A50:B50"/>
  </mergeCells>
  <pageMargins left="0.31496062992125984" right="0.31496062992125984" top="0.94488188976377963" bottom="0.7480314960629921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</vt:lpstr>
      <vt:lpstr>'1'!Область_печати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</dc:creator>
  <cp:lastModifiedBy>User2203</cp:lastModifiedBy>
  <cp:lastPrinted>2025-03-27T09:59:05Z</cp:lastPrinted>
  <dcterms:created xsi:type="dcterms:W3CDTF">2014-01-15T18:15:09Z</dcterms:created>
  <dcterms:modified xsi:type="dcterms:W3CDTF">2026-04-28T08:45:07Z</dcterms:modified>
</cp:coreProperties>
</file>